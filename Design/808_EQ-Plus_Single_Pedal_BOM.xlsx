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les\Downloads\"/>
    </mc:Choice>
  </mc:AlternateContent>
  <xr:revisionPtr revIDLastSave="0" documentId="13_ncr:1_{5E67F78A-FEDC-4263-B0C4-9E08FE45527A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ingle Pedal BOM" sheetId="1" r:id="rId1"/>
    <sheet name="Cost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6" i="2"/>
  <c r="B5" i="2"/>
  <c r="B4" i="2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B8" i="2" l="1"/>
</calcChain>
</file>

<file path=xl/sharedStrings.xml><?xml version="1.0" encoding="utf-8"?>
<sst xmlns="http://schemas.openxmlformats.org/spreadsheetml/2006/main" count="305" uniqueCount="170">
  <si>
    <t>Category</t>
  </si>
  <si>
    <t>Qty / Pedal</t>
  </si>
  <si>
    <t>Description</t>
  </si>
  <si>
    <t>Manufacturer</t>
  </si>
  <si>
    <t>Manufacturer Part No.</t>
  </si>
  <si>
    <t>Supplier</t>
  </si>
  <si>
    <t>Supplier SKU</t>
  </si>
  <si>
    <t>Unit Cost</t>
  </si>
  <si>
    <t>Allocated Cost</t>
  </si>
  <si>
    <t>Purchased Pack</t>
  </si>
  <si>
    <t>Pack Cost</t>
  </si>
  <si>
    <t>Notes</t>
  </si>
  <si>
    <t>Source / Datasheet</t>
  </si>
  <si>
    <t>Capacitor</t>
  </si>
  <si>
    <t>Film capacitor 0.022 µF, 5%, 100 V, radial</t>
  </si>
  <si>
    <t>KEMET</t>
  </si>
  <si>
    <t>R82EC2220SH50J</t>
  </si>
  <si>
    <t>DigiKey</t>
  </si>
  <si>
    <t>399-11868-1-ND</t>
  </si>
  <si>
    <t>1 each</t>
  </si>
  <si>
    <t>https://content.kemet.com/datasheets/KEM_F3101_R82.pdf</t>
  </si>
  <si>
    <t>Film capacitor 0.047 µF, 5%, 100 V, radial</t>
  </si>
  <si>
    <t>R82EC2470SH60J</t>
  </si>
  <si>
    <t>399-R82EC2470SH60JCT-ND</t>
  </si>
  <si>
    <t>2 each</t>
  </si>
  <si>
    <t>Film capacitor 0.082 µF, 5%, 100 V, radial</t>
  </si>
  <si>
    <t>R82EC2820SH60J</t>
  </si>
  <si>
    <t>399-R82EC2820SH60JCT-ND</t>
  </si>
  <si>
    <t>Film capacitor 0.1 µF, 10%, 63 V, radial</t>
  </si>
  <si>
    <t>R82DC3100AA50K</t>
  </si>
  <si>
    <t>399-9684-ND</t>
  </si>
  <si>
    <t>https://yageogroup.com/content/datasheet/asset/file/KEM_F3101_R82</t>
  </si>
  <si>
    <t>Film capacitor 0.22 µF, 5%, 63 V, radial</t>
  </si>
  <si>
    <t>R82DC3220Z360J</t>
  </si>
  <si>
    <t>399-9688-ND</t>
  </si>
  <si>
    <t>Film capacitor 1 µF, 10%, 63 V, radial</t>
  </si>
  <si>
    <t>R82DC4100AA60K</t>
  </si>
  <si>
    <t>399-11515-ND</t>
  </si>
  <si>
    <t>Ceramic capacitor 51 pF, C0G/NP0, 25 V, radial</t>
  </si>
  <si>
    <t>C315C510K3G5TA</t>
  </si>
  <si>
    <t>C315C510K3G5TA-ND</t>
  </si>
  <si>
    <t>https://yageogroup.com/content/datasheet/asset/file/KEM_C1049_GOLDMAX_C0G</t>
  </si>
  <si>
    <t>Electrolytic capacitor 100 µF, 25 V, radial</t>
  </si>
  <si>
    <t>Rubycon</t>
  </si>
  <si>
    <t>25PX100MEFC5X11</t>
  </si>
  <si>
    <t>1189-1224-ND</t>
  </si>
  <si>
    <t>https://www.rubycon.co.jp/wp-content/uploads/catalog-aluminum/PX.pdf</t>
  </si>
  <si>
    <t>Electrolytic capacitor 47 µF, 35 V, radial</t>
  </si>
  <si>
    <t>35YXJ47M5X11</t>
  </si>
  <si>
    <t>1189-2919-ND</t>
  </si>
  <si>
    <t>https://www.rubycon.co.jp/wp-content/uploads/catalog-aluminum/YXJ.pdf</t>
  </si>
  <si>
    <t>Electrolytic capacitor 10 µF, 63 V, radial</t>
  </si>
  <si>
    <t>63PX10MEFC5X11</t>
  </si>
  <si>
    <t>1189-1474-ND</t>
  </si>
  <si>
    <t>LED</t>
  </si>
  <si>
    <t>Red diffused LED, 5 mm, through-hole</t>
  </si>
  <si>
    <t>Würth Elektronik</t>
  </si>
  <si>
    <t>151051RS11000</t>
  </si>
  <si>
    <t>732-5016-ND</t>
  </si>
  <si>
    <t>https://www.we-online.com/components/products/datasheet/151051RS11000.pdf</t>
  </si>
  <si>
    <t>Diode</t>
  </si>
  <si>
    <t>1N4148 switching diode, DO-35</t>
  </si>
  <si>
    <t>onsemi</t>
  </si>
  <si>
    <t>1N4148-T50R</t>
  </si>
  <si>
    <t>1N4148-T50RCT-ND</t>
  </si>
  <si>
    <t>5 each</t>
  </si>
  <si>
    <t>https://www.onsemi.com/pub/Collateral/1N914-D.PDF</t>
  </si>
  <si>
    <t>1N4007 rectifier diode, axial</t>
  </si>
  <si>
    <t>1N4007FFG</t>
  </si>
  <si>
    <t>1N4007FFGOSCT-ND</t>
  </si>
  <si>
    <t>https://www.onsemi.com/pub/Collateral/1N4001-D.PDF</t>
  </si>
  <si>
    <t>Transistor</t>
  </si>
  <si>
    <t>2N5089 NPN transistor, TO-92</t>
  </si>
  <si>
    <t>Central Semiconductor</t>
  </si>
  <si>
    <t>2N5089 PBFREE</t>
  </si>
  <si>
    <t>1514-2N5089PBFREE-ND</t>
  </si>
  <si>
    <t>https://my.centralsemi.com/datasheets/2N5088%20SERIES.PDF</t>
  </si>
  <si>
    <t>Resistor</t>
  </si>
  <si>
    <t>100 Ω, 1%, 1/4 W axial resistor</t>
  </si>
  <si>
    <t>YAGEO</t>
  </si>
  <si>
    <t>MFR-25FRF52-100R</t>
  </si>
  <si>
    <t>13-MFR-25FRF52-100RCT-ND</t>
  </si>
  <si>
    <t>https://yageogroup.com/content/Resource%20Library/Datasheet/YAGEO-MFR_DATASHEET.pdf</t>
  </si>
  <si>
    <t>220 Ω, 1%, 1/4 W axial resistor</t>
  </si>
  <si>
    <t>MFR-25FTE52-220R</t>
  </si>
  <si>
    <t>13-MFR-25FTE52-220RCT-ND</t>
  </si>
  <si>
    <t>1 kΩ, 1%, 1/4 W axial resistor</t>
  </si>
  <si>
    <t>MFR-25FRF52-1K</t>
  </si>
  <si>
    <t>13-MFR-25FRF52-1KCT-ND</t>
  </si>
  <si>
    <t>4 each</t>
  </si>
  <si>
    <t>3.3 kΩ, 1%, 1/4 W axial resistor</t>
  </si>
  <si>
    <t>MFR-25FTE52-3K3</t>
  </si>
  <si>
    <t>13-MFR-25FTE52-3K3CT-ND</t>
  </si>
  <si>
    <t>4.7 kΩ, 1%, 1/4 W axial resistor</t>
  </si>
  <si>
    <t>MFR-25FTE52-4K7</t>
  </si>
  <si>
    <t>13-MFR-25FTE52-4K7CT-ND</t>
  </si>
  <si>
    <t>10 kΩ, 1%, 1/4 W axial resistor</t>
  </si>
  <si>
    <t>MFR-25FRF52-10K</t>
  </si>
  <si>
    <t>13-MFR-25FRF52-10KCT-ND</t>
  </si>
  <si>
    <t>7 each</t>
  </si>
  <si>
    <t>51 kΩ, 1%, 1/4 W axial resistor</t>
  </si>
  <si>
    <t>MFR-25FTE52-51K</t>
  </si>
  <si>
    <t>13-MFR-25FTE52-51KCT-ND</t>
  </si>
  <si>
    <t>510 kΩ, 1%, 1/4 W axial resistor</t>
  </si>
  <si>
    <t>MFR-25FTE52-510K</t>
  </si>
  <si>
    <t>13-MFR-25FTE52-510KCT-ND</t>
  </si>
  <si>
    <t>IC</t>
  </si>
  <si>
    <t>RC4558 dual op-amp, DIP-8</t>
  </si>
  <si>
    <t>Texas Instruments</t>
  </si>
  <si>
    <t>RC4558IP</t>
  </si>
  <si>
    <t>296-17460-5-ND</t>
  </si>
  <si>
    <t>https://www.ti.com/lit/gpn/rc4558</t>
  </si>
  <si>
    <t>Connector</t>
  </si>
  <si>
    <t>2.1 × 5.5 mm DC power jack, solder terminals</t>
  </si>
  <si>
    <t>MPD</t>
  </si>
  <si>
    <t>EJ501A</t>
  </si>
  <si>
    <t>EJ501A-ND</t>
  </si>
  <si>
    <t>https://www.memoryprotectiondevices.com/datasheets/EJ501A/EJ501A-datasheet.pdf</t>
  </si>
  <si>
    <t>Blue diffused LED, 5 mm, through-hole</t>
  </si>
  <si>
    <t>151051BS04000</t>
  </si>
  <si>
    <t>732-5015-ND</t>
  </si>
  <si>
    <t>https://www.we-online.com/components/products/datasheet/151051BS04000.pdf</t>
  </si>
  <si>
    <t>Socket</t>
  </si>
  <si>
    <t>8-position machined-pin DIP socket</t>
  </si>
  <si>
    <t>Preci-Dip</t>
  </si>
  <si>
    <t>110-87-308-41-001101</t>
  </si>
  <si>
    <t>1212-1003-ND</t>
  </si>
  <si>
    <t>1/4" mono panel jack, Switchcraft #11</t>
  </si>
  <si>
    <t>Switchcraft</t>
  </si>
  <si>
    <t>11</t>
  </si>
  <si>
    <t>Love My Switches</t>
  </si>
  <si>
    <t>#11</t>
  </si>
  <si>
    <t>10-pack</t>
  </si>
  <si>
    <t>Potentiometer</t>
  </si>
  <si>
    <t>16 mm A500K audio-taper potentiometer, 18T knurled shaft, solder lug</t>
  </si>
  <si>
    <t>A500K</t>
  </si>
  <si>
    <t>5-pack</t>
  </si>
  <si>
    <t>16 mm B20K linear potentiometer, 18T knurled shaft, solder lug</t>
  </si>
  <si>
    <t>B20K</t>
  </si>
  <si>
    <t>16 mm B100K linear potentiometer, 18T knurled shaft, solder lug</t>
  </si>
  <si>
    <t>B100K</t>
  </si>
  <si>
    <t>Footswitch</t>
  </si>
  <si>
    <t>3PDT latching stomp footswitch with breakout PCB and washers</t>
  </si>
  <si>
    <t>Amazon</t>
  </si>
  <si>
    <t>B01HJDOF2Y</t>
  </si>
  <si>
    <t>Package price retained; allocated cost assumes one switch per pedal.</t>
  </si>
  <si>
    <t>https://www.amazon.com/dp/B01HJDOF2Y</t>
  </si>
  <si>
    <t>Switch</t>
  </si>
  <si>
    <t>MTS-102 miniature SPDT ON-ON toggle switch, 3-pin</t>
  </si>
  <si>
    <t>MTS-102</t>
  </si>
  <si>
    <t>B0CZ6XZ2P9</t>
  </si>
  <si>
    <t>20-pack</t>
  </si>
  <si>
    <t>https://www.amazon.com/dp/B0CZ6XZ2P9</t>
  </si>
  <si>
    <t>Single-Pedal Cost Summary</t>
  </si>
  <si>
    <t>Allocated Parts Cost</t>
  </si>
  <si>
    <t>Quantities from DigiKey ModdedTS Parts List</t>
  </si>
  <si>
    <t>Drive potentiometer</t>
  </si>
  <si>
    <t>Tone potentiometer</t>
  </si>
  <si>
    <t>Level potentiometer</t>
  </si>
  <si>
    <t>Four switches used for pedal modifications; allocated cost assumes 20 switches per pack.</t>
  </si>
  <si>
    <t>https://lovemyswitches.com/16mm-potentiometers-18t-knurled-shaft-solder-lug/</t>
  </si>
  <si>
    <t>https://lovemyswitches.com/1-4-mono-jack-switchcraft-11/</t>
  </si>
  <si>
    <t>Also available for a good price on Amazon</t>
  </si>
  <si>
    <t>Bulk-package prices rather than per-pedal cost.</t>
  </si>
  <si>
    <t>One-pedal quantities from https://www.digikey.com/en/mylists/list/OOEIMICZI4</t>
  </si>
  <si>
    <t>One-pedal quantities from https://lovemyswitches.com/</t>
  </si>
  <si>
    <t>Estimated parts total:</t>
  </si>
  <si>
    <t>Excludes PCB fabrication, filament, wire, solder, hardware, tax, and shipping.</t>
  </si>
  <si>
    <t>Estimated per-pedal cost:</t>
  </si>
  <si>
    <t>Uses per-part cost of Amazon orders rather than cost of full bulk 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</si>
</sst>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u/>
      <sz val="11"/>
      <color theme="10"/>
      <name val="Carlito"/>
    </font>
    <font>
      <u/>
      <sz val="11"/>
      <name val="Carlito"/>
    </font>
    <font>
      <i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2" fillId="2" borderId="0" xfId="0" applyFont="1" applyFill="1" applyAlignment="1">
      <alignment horizontal="center"/>
    </xf>
    <xf numFmtId="0" fontId="3" fillId="0" borderId="0" xfId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nglePedalBOM" displayName="SinglePedalBOM" ref="A1:M33">
  <tableColumns count="13">
    <tableColumn id="1" xr3:uid="{00000000-0010-0000-0000-000001000000}" name="Category"/>
    <tableColumn id="2" xr3:uid="{00000000-0010-0000-0000-000002000000}" name="Qty / Pedal"/>
    <tableColumn id="3" xr3:uid="{00000000-0010-0000-0000-000003000000}" name="Description"/>
    <tableColumn id="4" xr3:uid="{00000000-0010-0000-0000-000004000000}" name="Manufacturer"/>
    <tableColumn id="5" xr3:uid="{00000000-0010-0000-0000-000005000000}" name="Manufacturer Part No."/>
    <tableColumn id="6" xr3:uid="{00000000-0010-0000-0000-000006000000}" name="Supplier"/>
    <tableColumn id="7" xr3:uid="{00000000-0010-0000-0000-000007000000}" name="Supplier SKU"/>
    <tableColumn id="8" xr3:uid="{00000000-0010-0000-0000-000008000000}" name="Unit Cost"/>
    <tableColumn id="9" xr3:uid="{00000000-0010-0000-0000-000009000000}" name="Allocated Cost"/>
    <tableColumn id="10" xr3:uid="{00000000-0010-0000-0000-00000A000000}" name="Purchased Pack"/>
    <tableColumn id="11" xr3:uid="{00000000-0010-0000-0000-00000B000000}" name="Pack Cost"/>
    <tableColumn id="12" xr3:uid="{00000000-0010-0000-0000-00000C000000}" name="Notes"/>
    <tableColumn id="13" xr3:uid="{00000000-0010-0000-0000-00000D000000}" name="Source / Datash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e-online.com/components/products/datasheet/151051RS11000.pdf" TargetMode="External"/><Relationship Id="rId18" Type="http://schemas.openxmlformats.org/officeDocument/2006/relationships/hyperlink" Target="https://yageogroup.com/content/Resource%20Library/Datasheet/YAGEO-MFR_DATASHEET.pdf" TargetMode="External"/><Relationship Id="rId26" Type="http://schemas.openxmlformats.org/officeDocument/2006/relationships/hyperlink" Target="https://www.memoryprotectiondevices.com/datasheets/EJ501A/EJ501A-datasheet.pdf" TargetMode="External"/><Relationship Id="rId3" Type="http://schemas.openxmlformats.org/officeDocument/2006/relationships/hyperlink" Target="https://content.kemet.com/datasheets/KEM_F3101_R82.pdf" TargetMode="External"/><Relationship Id="rId21" Type="http://schemas.openxmlformats.org/officeDocument/2006/relationships/hyperlink" Target="https://yageogroup.com/content/Resource%20Library/Datasheet/YAGEO-MFR_DATASHEET.pdf" TargetMode="External"/><Relationship Id="rId34" Type="http://schemas.openxmlformats.org/officeDocument/2006/relationships/hyperlink" Target="https://a.co/d/06v0HEmx" TargetMode="External"/><Relationship Id="rId7" Type="http://schemas.openxmlformats.org/officeDocument/2006/relationships/hyperlink" Target="https://yageogroup.com/content/datasheet/asset/file/KEM_F3101_R82" TargetMode="External"/><Relationship Id="rId12" Type="http://schemas.openxmlformats.org/officeDocument/2006/relationships/hyperlink" Target="https://www.rubycon.co.jp/wp-content/uploads/catalog-aluminum/PX.pdf" TargetMode="External"/><Relationship Id="rId17" Type="http://schemas.openxmlformats.org/officeDocument/2006/relationships/hyperlink" Target="https://yageogroup.com/content/Resource%20Library/Datasheet/YAGEO-MFR_DATASHEET.pdf" TargetMode="External"/><Relationship Id="rId25" Type="http://schemas.openxmlformats.org/officeDocument/2006/relationships/hyperlink" Target="https://www.ti.com/lit/gpn/rc4558" TargetMode="External"/><Relationship Id="rId33" Type="http://schemas.openxmlformats.org/officeDocument/2006/relationships/hyperlink" Target="https://www.amazon.com/dp/B0CZ6XZ2P9" TargetMode="External"/><Relationship Id="rId2" Type="http://schemas.openxmlformats.org/officeDocument/2006/relationships/hyperlink" Target="https://www.digikey.com/en/mylists/list/OOEIMICZI4" TargetMode="External"/><Relationship Id="rId16" Type="http://schemas.openxmlformats.org/officeDocument/2006/relationships/hyperlink" Target="https://my.centralsemi.com/datasheets/2N5088%20SERIES.PDF" TargetMode="External"/><Relationship Id="rId20" Type="http://schemas.openxmlformats.org/officeDocument/2006/relationships/hyperlink" Target="https://yageogroup.com/content/Resource%20Library/Datasheet/YAGEO-MFR_DATASHEET.pdf" TargetMode="External"/><Relationship Id="rId29" Type="http://schemas.openxmlformats.org/officeDocument/2006/relationships/hyperlink" Target="https://lovemyswitches.com/16mm-potentiometers-18t-knurled-shaft-solder-lug/" TargetMode="External"/><Relationship Id="rId1" Type="http://schemas.openxmlformats.org/officeDocument/2006/relationships/hyperlink" Target="https://www.digikey.com/en/mylists/list/OOEIMICZI4" TargetMode="External"/><Relationship Id="rId6" Type="http://schemas.openxmlformats.org/officeDocument/2006/relationships/hyperlink" Target="https://yageogroup.com/content/datasheet/asset/file/KEM_F3101_R82" TargetMode="External"/><Relationship Id="rId11" Type="http://schemas.openxmlformats.org/officeDocument/2006/relationships/hyperlink" Target="https://www.rubycon.co.jp/wp-content/uploads/catalog-aluminum/YXJ.pdf" TargetMode="External"/><Relationship Id="rId24" Type="http://schemas.openxmlformats.org/officeDocument/2006/relationships/hyperlink" Target="https://yageogroup.com/content/Resource%20Library/Datasheet/YAGEO-MFR_DATASHEET.pdf" TargetMode="External"/><Relationship Id="rId32" Type="http://schemas.openxmlformats.org/officeDocument/2006/relationships/hyperlink" Target="https://www.amazon.com/dp/B01HJDOF2Y" TargetMode="External"/><Relationship Id="rId5" Type="http://schemas.openxmlformats.org/officeDocument/2006/relationships/hyperlink" Target="https://content.kemet.com/datasheets/KEM_F3101_R82.pdf" TargetMode="External"/><Relationship Id="rId15" Type="http://schemas.openxmlformats.org/officeDocument/2006/relationships/hyperlink" Target="https://www.onsemi.com/pub/Collateral/1N4001-D.PDF" TargetMode="External"/><Relationship Id="rId23" Type="http://schemas.openxmlformats.org/officeDocument/2006/relationships/hyperlink" Target="https://yageogroup.com/content/Resource%20Library/Datasheet/YAGEO-MFR_DATASHEET.pdf" TargetMode="External"/><Relationship Id="rId28" Type="http://schemas.openxmlformats.org/officeDocument/2006/relationships/hyperlink" Target="https://lovemyswitches.com/1-4-mono-jack-switchcraft-11/" TargetMode="External"/><Relationship Id="rId10" Type="http://schemas.openxmlformats.org/officeDocument/2006/relationships/hyperlink" Target="https://www.rubycon.co.jp/wp-content/uploads/catalog-aluminum/PX.pdf" TargetMode="External"/><Relationship Id="rId19" Type="http://schemas.openxmlformats.org/officeDocument/2006/relationships/hyperlink" Target="https://yageogroup.com/content/Resource%20Library/Datasheet/YAGEO-MFR_DATASHEET.pdf" TargetMode="External"/><Relationship Id="rId31" Type="http://schemas.openxmlformats.org/officeDocument/2006/relationships/hyperlink" Target="https://lovemyswitches.com/16mm-potentiometers-18t-knurled-shaft-solder-lug/" TargetMode="External"/><Relationship Id="rId4" Type="http://schemas.openxmlformats.org/officeDocument/2006/relationships/hyperlink" Target="https://content.kemet.com/datasheets/KEM_F3101_R82.pdf" TargetMode="External"/><Relationship Id="rId9" Type="http://schemas.openxmlformats.org/officeDocument/2006/relationships/hyperlink" Target="https://yageogroup.com/content/datasheet/asset/file/KEM_C1049_GOLDMAX_C0G" TargetMode="External"/><Relationship Id="rId14" Type="http://schemas.openxmlformats.org/officeDocument/2006/relationships/hyperlink" Target="https://www.onsemi.com/pub/Collateral/1N914-D.PDF" TargetMode="External"/><Relationship Id="rId22" Type="http://schemas.openxmlformats.org/officeDocument/2006/relationships/hyperlink" Target="https://yageogroup.com/content/Resource%20Library/Datasheet/YAGEO-MFR_DATASHEET.pdf" TargetMode="External"/><Relationship Id="rId27" Type="http://schemas.openxmlformats.org/officeDocument/2006/relationships/hyperlink" Target="https://www.we-online.com/components/products/datasheet/151051BS04000.pdf" TargetMode="External"/><Relationship Id="rId30" Type="http://schemas.openxmlformats.org/officeDocument/2006/relationships/hyperlink" Target="https://lovemyswitches.com/16mm-potentiometers-18t-knurled-shaft-solder-lug/" TargetMode="External"/><Relationship Id="rId35" Type="http://schemas.openxmlformats.org/officeDocument/2006/relationships/table" Target="../tables/table1.xml"/><Relationship Id="rId8" Type="http://schemas.openxmlformats.org/officeDocument/2006/relationships/hyperlink" Target="https://yageogroup.com/content/datasheet/asset/file/KEM_F3101_R8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11" zoomScale="74" zoomScaleNormal="85" workbookViewId="0">
      <selection activeCell="G38" sqref="G38"/>
    </sheetView>
  </sheetViews>
  <sheetFormatPr defaultRowHeight="14"/>
  <cols>
    <col min="1" max="1" width="14" customWidth="1"/>
    <col min="2" max="2" width="11" customWidth="1"/>
    <col min="3" max="3" width="42" customWidth="1"/>
    <col min="4" max="4" width="22" customWidth="1"/>
    <col min="5" max="5" width="24" customWidth="1"/>
    <col min="6" max="6" width="18" customWidth="1"/>
    <col min="7" max="7" width="24" customWidth="1"/>
    <col min="8" max="8" width="12" customWidth="1"/>
    <col min="9" max="10" width="14" customWidth="1"/>
    <col min="11" max="11" width="12" customWidth="1"/>
    <col min="12" max="13" width="42" customWidth="1"/>
  </cols>
  <sheetData>
    <row r="1" spans="1:13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">
      <c r="A2" s="2" t="s">
        <v>13</v>
      </c>
      <c r="B2" s="4">
        <v>1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>
        <v>0.3</v>
      </c>
      <c r="I2" s="3">
        <f t="shared" ref="I2:I33" si="0">B2*H2</f>
        <v>0.3</v>
      </c>
      <c r="J2" s="3" t="s">
        <v>19</v>
      </c>
      <c r="K2" s="3">
        <v>0.3</v>
      </c>
      <c r="L2" s="6" t="s">
        <v>155</v>
      </c>
      <c r="M2" s="6" t="s">
        <v>20</v>
      </c>
    </row>
    <row r="3" spans="1:13" ht="28">
      <c r="A3" s="2" t="s">
        <v>13</v>
      </c>
      <c r="B3" s="4">
        <v>2</v>
      </c>
      <c r="C3" s="2" t="s">
        <v>21</v>
      </c>
      <c r="D3" s="2" t="s">
        <v>15</v>
      </c>
      <c r="E3" s="2" t="s">
        <v>22</v>
      </c>
      <c r="F3" s="2" t="s">
        <v>17</v>
      </c>
      <c r="G3" s="2" t="s">
        <v>23</v>
      </c>
      <c r="H3" s="3">
        <v>0.31</v>
      </c>
      <c r="I3" s="3">
        <f t="shared" si="0"/>
        <v>0.62</v>
      </c>
      <c r="J3" s="3" t="s">
        <v>24</v>
      </c>
      <c r="K3" s="3">
        <v>0.62</v>
      </c>
      <c r="L3" s="6" t="s">
        <v>155</v>
      </c>
      <c r="M3" s="6" t="s">
        <v>20</v>
      </c>
    </row>
    <row r="4" spans="1:13" ht="28">
      <c r="A4" s="2" t="s">
        <v>13</v>
      </c>
      <c r="B4" s="4">
        <v>1</v>
      </c>
      <c r="C4" s="2" t="s">
        <v>25</v>
      </c>
      <c r="D4" s="2" t="s">
        <v>15</v>
      </c>
      <c r="E4" s="2" t="s">
        <v>26</v>
      </c>
      <c r="F4" s="2" t="s">
        <v>17</v>
      </c>
      <c r="G4" s="2" t="s">
        <v>27</v>
      </c>
      <c r="H4" s="3">
        <v>0.51</v>
      </c>
      <c r="I4" s="3">
        <f t="shared" si="0"/>
        <v>0.51</v>
      </c>
      <c r="J4" s="3" t="s">
        <v>19</v>
      </c>
      <c r="K4" s="3">
        <v>0.51</v>
      </c>
      <c r="L4" s="6" t="s">
        <v>155</v>
      </c>
      <c r="M4" s="6" t="s">
        <v>20</v>
      </c>
    </row>
    <row r="5" spans="1:13" ht="28">
      <c r="A5" s="2" t="s">
        <v>13</v>
      </c>
      <c r="B5" s="4">
        <v>1</v>
      </c>
      <c r="C5" s="2" t="s">
        <v>28</v>
      </c>
      <c r="D5" s="2" t="s">
        <v>15</v>
      </c>
      <c r="E5" s="2" t="s">
        <v>29</v>
      </c>
      <c r="F5" s="2" t="s">
        <v>17</v>
      </c>
      <c r="G5" s="2" t="s">
        <v>30</v>
      </c>
      <c r="H5" s="3">
        <v>0.28000000000000003</v>
      </c>
      <c r="I5" s="3">
        <f t="shared" si="0"/>
        <v>0.28000000000000003</v>
      </c>
      <c r="J5" s="3" t="s">
        <v>19</v>
      </c>
      <c r="K5" s="3">
        <v>0.28000000000000003</v>
      </c>
      <c r="L5" s="6" t="s">
        <v>155</v>
      </c>
      <c r="M5" s="6" t="s">
        <v>31</v>
      </c>
    </row>
    <row r="6" spans="1:13" ht="28">
      <c r="A6" s="2" t="s">
        <v>13</v>
      </c>
      <c r="B6" s="4">
        <v>2</v>
      </c>
      <c r="C6" s="2" t="s">
        <v>32</v>
      </c>
      <c r="D6" s="2" t="s">
        <v>15</v>
      </c>
      <c r="E6" s="2" t="s">
        <v>33</v>
      </c>
      <c r="F6" s="2" t="s">
        <v>17</v>
      </c>
      <c r="G6" s="2" t="s">
        <v>34</v>
      </c>
      <c r="H6" s="3">
        <v>0.31</v>
      </c>
      <c r="I6" s="3">
        <f t="shared" si="0"/>
        <v>0.62</v>
      </c>
      <c r="J6" s="3" t="s">
        <v>24</v>
      </c>
      <c r="K6" s="3">
        <v>0.62</v>
      </c>
      <c r="L6" s="6" t="s">
        <v>155</v>
      </c>
      <c r="M6" s="6" t="s">
        <v>31</v>
      </c>
    </row>
    <row r="7" spans="1:13" ht="28">
      <c r="A7" s="2" t="s">
        <v>13</v>
      </c>
      <c r="B7" s="4">
        <v>2</v>
      </c>
      <c r="C7" s="2" t="s">
        <v>35</v>
      </c>
      <c r="D7" s="2" t="s">
        <v>15</v>
      </c>
      <c r="E7" s="2" t="s">
        <v>36</v>
      </c>
      <c r="F7" s="2" t="s">
        <v>17</v>
      </c>
      <c r="G7" s="2" t="s">
        <v>37</v>
      </c>
      <c r="H7" s="3">
        <v>0.6</v>
      </c>
      <c r="I7" s="3">
        <f t="shared" si="0"/>
        <v>1.2</v>
      </c>
      <c r="J7" s="3" t="s">
        <v>24</v>
      </c>
      <c r="K7" s="3">
        <v>1.2</v>
      </c>
      <c r="L7" s="6" t="s">
        <v>155</v>
      </c>
      <c r="M7" s="6" t="s">
        <v>31</v>
      </c>
    </row>
    <row r="8" spans="1:13" ht="28">
      <c r="A8" s="2" t="s">
        <v>13</v>
      </c>
      <c r="B8" s="4">
        <v>1</v>
      </c>
      <c r="C8" s="2" t="s">
        <v>38</v>
      </c>
      <c r="D8" s="2" t="s">
        <v>15</v>
      </c>
      <c r="E8" s="2" t="s">
        <v>39</v>
      </c>
      <c r="F8" s="2" t="s">
        <v>17</v>
      </c>
      <c r="G8" s="2" t="s">
        <v>40</v>
      </c>
      <c r="H8" s="3">
        <v>0.39</v>
      </c>
      <c r="I8" s="3">
        <f t="shared" si="0"/>
        <v>0.39</v>
      </c>
      <c r="J8" s="3" t="s">
        <v>19</v>
      </c>
      <c r="K8" s="3">
        <v>0.39</v>
      </c>
      <c r="L8" s="6" t="s">
        <v>155</v>
      </c>
      <c r="M8" s="6" t="s">
        <v>41</v>
      </c>
    </row>
    <row r="9" spans="1:13" ht="28">
      <c r="A9" s="2" t="s">
        <v>13</v>
      </c>
      <c r="B9" s="4">
        <v>1</v>
      </c>
      <c r="C9" s="2" t="s">
        <v>42</v>
      </c>
      <c r="D9" s="2" t="s">
        <v>43</v>
      </c>
      <c r="E9" s="2" t="s">
        <v>44</v>
      </c>
      <c r="F9" s="2" t="s">
        <v>17</v>
      </c>
      <c r="G9" s="2" t="s">
        <v>45</v>
      </c>
      <c r="H9" s="3">
        <v>0.22</v>
      </c>
      <c r="I9" s="3">
        <f t="shared" si="0"/>
        <v>0.22</v>
      </c>
      <c r="J9" s="3" t="s">
        <v>19</v>
      </c>
      <c r="K9" s="3">
        <v>0.22</v>
      </c>
      <c r="L9" s="6" t="s">
        <v>155</v>
      </c>
      <c r="M9" s="6" t="s">
        <v>46</v>
      </c>
    </row>
    <row r="10" spans="1:13" ht="28">
      <c r="A10" s="2" t="s">
        <v>13</v>
      </c>
      <c r="B10" s="4">
        <v>1</v>
      </c>
      <c r="C10" s="2" t="s">
        <v>47</v>
      </c>
      <c r="D10" s="2" t="s">
        <v>43</v>
      </c>
      <c r="E10" s="2" t="s">
        <v>48</v>
      </c>
      <c r="F10" s="2" t="s">
        <v>17</v>
      </c>
      <c r="G10" s="2" t="s">
        <v>49</v>
      </c>
      <c r="H10" s="3">
        <v>0.22</v>
      </c>
      <c r="I10" s="3">
        <f t="shared" si="0"/>
        <v>0.22</v>
      </c>
      <c r="J10" s="3" t="s">
        <v>19</v>
      </c>
      <c r="K10" s="3">
        <v>0.22</v>
      </c>
      <c r="L10" s="6" t="s">
        <v>155</v>
      </c>
      <c r="M10" s="6" t="s">
        <v>50</v>
      </c>
    </row>
    <row r="11" spans="1:13" ht="28">
      <c r="A11" s="2" t="s">
        <v>13</v>
      </c>
      <c r="B11" s="4">
        <v>1</v>
      </c>
      <c r="C11" s="2" t="s">
        <v>51</v>
      </c>
      <c r="D11" s="2" t="s">
        <v>43</v>
      </c>
      <c r="E11" s="2" t="s">
        <v>52</v>
      </c>
      <c r="F11" s="2" t="s">
        <v>17</v>
      </c>
      <c r="G11" s="2" t="s">
        <v>53</v>
      </c>
      <c r="H11" s="3">
        <v>0.23</v>
      </c>
      <c r="I11" s="3">
        <f t="shared" si="0"/>
        <v>0.23</v>
      </c>
      <c r="J11" s="3" t="s">
        <v>19</v>
      </c>
      <c r="K11" s="3">
        <v>0.23</v>
      </c>
      <c r="L11" s="6" t="s">
        <v>155</v>
      </c>
      <c r="M11" s="6" t="s">
        <v>46</v>
      </c>
    </row>
    <row r="12" spans="1:13" ht="42">
      <c r="A12" s="2" t="s">
        <v>54</v>
      </c>
      <c r="B12" s="4">
        <v>2</v>
      </c>
      <c r="C12" s="2" t="s">
        <v>55</v>
      </c>
      <c r="D12" s="2" t="s">
        <v>56</v>
      </c>
      <c r="E12" s="2" t="s">
        <v>57</v>
      </c>
      <c r="F12" s="2" t="s">
        <v>17</v>
      </c>
      <c r="G12" s="2" t="s">
        <v>58</v>
      </c>
      <c r="H12" s="3">
        <v>0.16</v>
      </c>
      <c r="I12" s="3">
        <f t="shared" si="0"/>
        <v>0.32</v>
      </c>
      <c r="J12" s="3" t="s">
        <v>24</v>
      </c>
      <c r="K12" s="3">
        <v>0.32</v>
      </c>
      <c r="L12" s="6" t="s">
        <v>155</v>
      </c>
      <c r="M12" s="6" t="s">
        <v>59</v>
      </c>
    </row>
    <row r="13" spans="1:13" ht="28">
      <c r="A13" s="2" t="s">
        <v>60</v>
      </c>
      <c r="B13" s="4">
        <v>5</v>
      </c>
      <c r="C13" s="2" t="s">
        <v>61</v>
      </c>
      <c r="D13" s="2" t="s">
        <v>62</v>
      </c>
      <c r="E13" s="2" t="s">
        <v>63</v>
      </c>
      <c r="F13" s="2" t="s">
        <v>17</v>
      </c>
      <c r="G13" s="2" t="s">
        <v>64</v>
      </c>
      <c r="H13" s="3">
        <v>0.1</v>
      </c>
      <c r="I13" s="3">
        <f t="shared" si="0"/>
        <v>0.5</v>
      </c>
      <c r="J13" s="3" t="s">
        <v>65</v>
      </c>
      <c r="K13" s="3">
        <v>0.5</v>
      </c>
      <c r="L13" s="6" t="s">
        <v>155</v>
      </c>
      <c r="M13" s="6" t="s">
        <v>66</v>
      </c>
    </row>
    <row r="14" spans="1:13" ht="28">
      <c r="A14" s="2" t="s">
        <v>60</v>
      </c>
      <c r="B14" s="4">
        <v>1</v>
      </c>
      <c r="C14" s="2" t="s">
        <v>67</v>
      </c>
      <c r="D14" s="2" t="s">
        <v>62</v>
      </c>
      <c r="E14" s="2" t="s">
        <v>68</v>
      </c>
      <c r="F14" s="2" t="s">
        <v>17</v>
      </c>
      <c r="G14" s="2" t="s">
        <v>69</v>
      </c>
      <c r="H14" s="3">
        <v>0.23</v>
      </c>
      <c r="I14" s="3">
        <f t="shared" si="0"/>
        <v>0.23</v>
      </c>
      <c r="J14" s="3" t="s">
        <v>19</v>
      </c>
      <c r="K14" s="3">
        <v>0.23</v>
      </c>
      <c r="L14" s="6" t="s">
        <v>155</v>
      </c>
      <c r="M14" s="6" t="s">
        <v>70</v>
      </c>
    </row>
    <row r="15" spans="1:13" ht="28">
      <c r="A15" s="2" t="s">
        <v>71</v>
      </c>
      <c r="B15" s="4">
        <v>2</v>
      </c>
      <c r="C15" s="2" t="s">
        <v>72</v>
      </c>
      <c r="D15" s="2" t="s">
        <v>73</v>
      </c>
      <c r="E15" s="2" t="s">
        <v>74</v>
      </c>
      <c r="F15" s="2" t="s">
        <v>17</v>
      </c>
      <c r="G15" s="2" t="s">
        <v>75</v>
      </c>
      <c r="H15" s="3">
        <v>0.81</v>
      </c>
      <c r="I15" s="3">
        <f t="shared" si="0"/>
        <v>1.62</v>
      </c>
      <c r="J15" s="3" t="s">
        <v>24</v>
      </c>
      <c r="K15" s="3">
        <v>1.62</v>
      </c>
      <c r="L15" s="6" t="s">
        <v>155</v>
      </c>
      <c r="M15" s="6" t="s">
        <v>76</v>
      </c>
    </row>
    <row r="16" spans="1:13" ht="28">
      <c r="A16" s="2" t="s">
        <v>77</v>
      </c>
      <c r="B16" s="4">
        <v>1</v>
      </c>
      <c r="C16" s="2" t="s">
        <v>78</v>
      </c>
      <c r="D16" s="2" t="s">
        <v>79</v>
      </c>
      <c r="E16" s="2" t="s">
        <v>80</v>
      </c>
      <c r="F16" s="2" t="s">
        <v>17</v>
      </c>
      <c r="G16" s="2" t="s">
        <v>81</v>
      </c>
      <c r="H16" s="3">
        <v>0.1</v>
      </c>
      <c r="I16" s="3">
        <f t="shared" si="0"/>
        <v>0.1</v>
      </c>
      <c r="J16" s="3" t="s">
        <v>19</v>
      </c>
      <c r="K16" s="3">
        <v>0.1</v>
      </c>
      <c r="L16" s="6" t="s">
        <v>155</v>
      </c>
      <c r="M16" s="6" t="s">
        <v>82</v>
      </c>
    </row>
    <row r="17" spans="1:13" ht="28">
      <c r="A17" s="2" t="s">
        <v>77</v>
      </c>
      <c r="B17" s="4">
        <v>1</v>
      </c>
      <c r="C17" s="2" t="s">
        <v>83</v>
      </c>
      <c r="D17" s="2" t="s">
        <v>79</v>
      </c>
      <c r="E17" s="2" t="s">
        <v>84</v>
      </c>
      <c r="F17" s="2" t="s">
        <v>17</v>
      </c>
      <c r="G17" s="2" t="s">
        <v>85</v>
      </c>
      <c r="H17" s="3">
        <v>0.1</v>
      </c>
      <c r="I17" s="3">
        <f t="shared" si="0"/>
        <v>0.1</v>
      </c>
      <c r="J17" s="3" t="s">
        <v>19</v>
      </c>
      <c r="K17" s="3">
        <v>0.1</v>
      </c>
      <c r="L17" s="6" t="s">
        <v>155</v>
      </c>
      <c r="M17" s="6" t="s">
        <v>82</v>
      </c>
    </row>
    <row r="18" spans="1:13" ht="28">
      <c r="A18" s="2" t="s">
        <v>77</v>
      </c>
      <c r="B18" s="4">
        <v>4</v>
      </c>
      <c r="C18" s="2" t="s">
        <v>86</v>
      </c>
      <c r="D18" s="2" t="s">
        <v>79</v>
      </c>
      <c r="E18" s="2" t="s">
        <v>87</v>
      </c>
      <c r="F18" s="2" t="s">
        <v>17</v>
      </c>
      <c r="G18" s="2" t="s">
        <v>88</v>
      </c>
      <c r="H18" s="3">
        <v>0.1</v>
      </c>
      <c r="I18" s="3">
        <f t="shared" si="0"/>
        <v>0.4</v>
      </c>
      <c r="J18" s="3" t="s">
        <v>89</v>
      </c>
      <c r="K18" s="3">
        <v>0.4</v>
      </c>
      <c r="L18" s="6" t="s">
        <v>155</v>
      </c>
      <c r="M18" s="6" t="s">
        <v>82</v>
      </c>
    </row>
    <row r="19" spans="1:13" ht="28">
      <c r="A19" s="2" t="s">
        <v>77</v>
      </c>
      <c r="B19" s="4">
        <v>1</v>
      </c>
      <c r="C19" s="2" t="s">
        <v>90</v>
      </c>
      <c r="D19" s="2" t="s">
        <v>79</v>
      </c>
      <c r="E19" s="2" t="s">
        <v>91</v>
      </c>
      <c r="F19" s="2" t="s">
        <v>17</v>
      </c>
      <c r="G19" s="2" t="s">
        <v>92</v>
      </c>
      <c r="H19" s="3">
        <v>0.1</v>
      </c>
      <c r="I19" s="3">
        <f t="shared" si="0"/>
        <v>0.1</v>
      </c>
      <c r="J19" s="3" t="s">
        <v>19</v>
      </c>
      <c r="K19" s="3">
        <v>0.1</v>
      </c>
      <c r="L19" s="6" t="s">
        <v>155</v>
      </c>
      <c r="M19" s="6" t="s">
        <v>82</v>
      </c>
    </row>
    <row r="20" spans="1:13" ht="28">
      <c r="A20" s="2" t="s">
        <v>77</v>
      </c>
      <c r="B20" s="4">
        <v>1</v>
      </c>
      <c r="C20" s="2" t="s">
        <v>93</v>
      </c>
      <c r="D20" s="2" t="s">
        <v>79</v>
      </c>
      <c r="E20" s="2" t="s">
        <v>94</v>
      </c>
      <c r="F20" s="2" t="s">
        <v>17</v>
      </c>
      <c r="G20" s="2" t="s">
        <v>95</v>
      </c>
      <c r="H20" s="3">
        <v>0.1</v>
      </c>
      <c r="I20" s="3">
        <f t="shared" si="0"/>
        <v>0.1</v>
      </c>
      <c r="J20" s="3" t="s">
        <v>19</v>
      </c>
      <c r="K20" s="3">
        <v>0.1</v>
      </c>
      <c r="L20" s="6" t="s">
        <v>155</v>
      </c>
      <c r="M20" s="6" t="s">
        <v>82</v>
      </c>
    </row>
    <row r="21" spans="1:13" ht="28">
      <c r="A21" s="2" t="s">
        <v>77</v>
      </c>
      <c r="B21" s="4">
        <v>7</v>
      </c>
      <c r="C21" s="2" t="s">
        <v>96</v>
      </c>
      <c r="D21" s="2" t="s">
        <v>79</v>
      </c>
      <c r="E21" s="2" t="s">
        <v>97</v>
      </c>
      <c r="F21" s="2" t="s">
        <v>17</v>
      </c>
      <c r="G21" s="2" t="s">
        <v>98</v>
      </c>
      <c r="H21" s="3">
        <v>0.1</v>
      </c>
      <c r="I21" s="3">
        <f t="shared" si="0"/>
        <v>0.70000000000000007</v>
      </c>
      <c r="J21" s="3" t="s">
        <v>99</v>
      </c>
      <c r="K21" s="3">
        <v>0.70000000000000007</v>
      </c>
      <c r="L21" s="6" t="s">
        <v>155</v>
      </c>
      <c r="M21" s="6" t="s">
        <v>82</v>
      </c>
    </row>
    <row r="22" spans="1:13" ht="28">
      <c r="A22" s="2" t="s">
        <v>77</v>
      </c>
      <c r="B22" s="4">
        <v>1</v>
      </c>
      <c r="C22" s="2" t="s">
        <v>100</v>
      </c>
      <c r="D22" s="2" t="s">
        <v>79</v>
      </c>
      <c r="E22" s="2" t="s">
        <v>101</v>
      </c>
      <c r="F22" s="2" t="s">
        <v>17</v>
      </c>
      <c r="G22" s="2" t="s">
        <v>102</v>
      </c>
      <c r="H22" s="3">
        <v>0.1</v>
      </c>
      <c r="I22" s="3">
        <f t="shared" si="0"/>
        <v>0.1</v>
      </c>
      <c r="J22" s="3" t="s">
        <v>19</v>
      </c>
      <c r="K22" s="3">
        <v>0.1</v>
      </c>
      <c r="L22" s="6" t="s">
        <v>155</v>
      </c>
      <c r="M22" s="6" t="s">
        <v>82</v>
      </c>
    </row>
    <row r="23" spans="1:13" ht="28">
      <c r="A23" s="2" t="s">
        <v>77</v>
      </c>
      <c r="B23" s="4">
        <v>2</v>
      </c>
      <c r="C23" s="2" t="s">
        <v>103</v>
      </c>
      <c r="D23" s="2" t="s">
        <v>79</v>
      </c>
      <c r="E23" s="2" t="s">
        <v>104</v>
      </c>
      <c r="F23" s="2" t="s">
        <v>17</v>
      </c>
      <c r="G23" s="2" t="s">
        <v>105</v>
      </c>
      <c r="H23" s="3">
        <v>0.1</v>
      </c>
      <c r="I23" s="3">
        <f t="shared" si="0"/>
        <v>0.2</v>
      </c>
      <c r="J23" s="3" t="s">
        <v>24</v>
      </c>
      <c r="K23" s="3">
        <v>0.2</v>
      </c>
      <c r="L23" s="6" t="s">
        <v>155</v>
      </c>
      <c r="M23" s="6" t="s">
        <v>82</v>
      </c>
    </row>
    <row r="24" spans="1:13">
      <c r="A24" s="2" t="s">
        <v>106</v>
      </c>
      <c r="B24" s="4">
        <v>1</v>
      </c>
      <c r="C24" s="2" t="s">
        <v>107</v>
      </c>
      <c r="D24" s="2" t="s">
        <v>108</v>
      </c>
      <c r="E24" s="2" t="s">
        <v>109</v>
      </c>
      <c r="F24" s="2" t="s">
        <v>17</v>
      </c>
      <c r="G24" s="2" t="s">
        <v>110</v>
      </c>
      <c r="H24" s="3">
        <v>0.38</v>
      </c>
      <c r="I24" s="3">
        <f t="shared" si="0"/>
        <v>0.38</v>
      </c>
      <c r="J24" s="3" t="s">
        <v>19</v>
      </c>
      <c r="K24" s="3">
        <v>0.38</v>
      </c>
      <c r="L24" s="6" t="s">
        <v>155</v>
      </c>
      <c r="M24" s="6" t="s">
        <v>111</v>
      </c>
    </row>
    <row r="25" spans="1:13" ht="28">
      <c r="A25" s="2" t="s">
        <v>112</v>
      </c>
      <c r="B25" s="4">
        <v>1</v>
      </c>
      <c r="C25" s="2" t="s">
        <v>113</v>
      </c>
      <c r="D25" s="2" t="s">
        <v>114</v>
      </c>
      <c r="E25" s="2" t="s">
        <v>115</v>
      </c>
      <c r="F25" s="2" t="s">
        <v>17</v>
      </c>
      <c r="G25" s="2" t="s">
        <v>116</v>
      </c>
      <c r="H25" s="3">
        <v>1.89</v>
      </c>
      <c r="I25" s="3">
        <f t="shared" si="0"/>
        <v>1.89</v>
      </c>
      <c r="J25" s="3" t="s">
        <v>19</v>
      </c>
      <c r="K25" s="3">
        <v>1.89</v>
      </c>
      <c r="L25" s="6" t="s">
        <v>155</v>
      </c>
      <c r="M25" s="6" t="s">
        <v>117</v>
      </c>
    </row>
    <row r="26" spans="1:13" ht="42">
      <c r="A26" s="2" t="s">
        <v>54</v>
      </c>
      <c r="B26" s="4">
        <v>1</v>
      </c>
      <c r="C26" s="2" t="s">
        <v>118</v>
      </c>
      <c r="D26" s="2" t="s">
        <v>56</v>
      </c>
      <c r="E26" s="2" t="s">
        <v>119</v>
      </c>
      <c r="F26" s="2" t="s">
        <v>17</v>
      </c>
      <c r="G26" s="2" t="s">
        <v>120</v>
      </c>
      <c r="H26" s="3">
        <v>0.25</v>
      </c>
      <c r="I26" s="3">
        <f t="shared" si="0"/>
        <v>0.25</v>
      </c>
      <c r="J26" s="3" t="s">
        <v>19</v>
      </c>
      <c r="K26" s="3">
        <v>0.25</v>
      </c>
      <c r="L26" s="6" t="s">
        <v>155</v>
      </c>
      <c r="M26" s="6" t="s">
        <v>121</v>
      </c>
    </row>
    <row r="27" spans="1:13">
      <c r="A27" s="2" t="s">
        <v>122</v>
      </c>
      <c r="B27" s="4">
        <v>1</v>
      </c>
      <c r="C27" s="2" t="s">
        <v>123</v>
      </c>
      <c r="D27" s="2" t="s">
        <v>124</v>
      </c>
      <c r="E27" s="2" t="s">
        <v>125</v>
      </c>
      <c r="F27" s="2" t="s">
        <v>17</v>
      </c>
      <c r="G27" s="2" t="s">
        <v>126</v>
      </c>
      <c r="H27" s="3">
        <v>0.49</v>
      </c>
      <c r="I27" s="3">
        <f t="shared" si="0"/>
        <v>0.49</v>
      </c>
      <c r="J27" s="3" t="s">
        <v>19</v>
      </c>
      <c r="K27" s="3">
        <v>0.49</v>
      </c>
      <c r="L27" s="6" t="s">
        <v>155</v>
      </c>
      <c r="M27" s="2"/>
    </row>
    <row r="28" spans="1:13" ht="28">
      <c r="A28" s="2" t="s">
        <v>112</v>
      </c>
      <c r="B28" s="4">
        <v>2</v>
      </c>
      <c r="C28" s="2" t="s">
        <v>127</v>
      </c>
      <c r="D28" s="2" t="s">
        <v>128</v>
      </c>
      <c r="E28" s="2" t="s">
        <v>129</v>
      </c>
      <c r="F28" s="2" t="s">
        <v>130</v>
      </c>
      <c r="G28" s="2" t="s">
        <v>131</v>
      </c>
      <c r="H28" s="3">
        <v>3.23</v>
      </c>
      <c r="I28" s="3">
        <f t="shared" si="0"/>
        <v>6.46</v>
      </c>
      <c r="J28" s="3" t="s">
        <v>132</v>
      </c>
      <c r="K28" s="3">
        <v>31.2</v>
      </c>
      <c r="L28" s="6" t="s">
        <v>162</v>
      </c>
      <c r="M28" s="6" t="s">
        <v>161</v>
      </c>
    </row>
    <row r="29" spans="1:13" ht="28">
      <c r="A29" s="2" t="s">
        <v>133</v>
      </c>
      <c r="B29" s="4">
        <v>1</v>
      </c>
      <c r="C29" s="2" t="s">
        <v>134</v>
      </c>
      <c r="D29" s="2"/>
      <c r="E29" s="2" t="s">
        <v>135</v>
      </c>
      <c r="F29" s="2" t="s">
        <v>130</v>
      </c>
      <c r="G29" s="2"/>
      <c r="H29" s="3">
        <v>0.74</v>
      </c>
      <c r="I29" s="3">
        <f t="shared" si="0"/>
        <v>0.74</v>
      </c>
      <c r="J29" s="3" t="s">
        <v>136</v>
      </c>
      <c r="K29" s="3">
        <v>3.7</v>
      </c>
      <c r="L29" s="2" t="s">
        <v>156</v>
      </c>
      <c r="M29" s="6" t="s">
        <v>160</v>
      </c>
    </row>
    <row r="30" spans="1:13" ht="28">
      <c r="A30" s="2" t="s">
        <v>133</v>
      </c>
      <c r="B30" s="4">
        <v>1</v>
      </c>
      <c r="C30" s="2" t="s">
        <v>137</v>
      </c>
      <c r="D30" s="2"/>
      <c r="E30" s="2" t="s">
        <v>138</v>
      </c>
      <c r="F30" s="2" t="s">
        <v>130</v>
      </c>
      <c r="G30" s="2"/>
      <c r="H30" s="3">
        <v>0.74</v>
      </c>
      <c r="I30" s="3">
        <f t="shared" si="0"/>
        <v>0.74</v>
      </c>
      <c r="J30" s="3" t="s">
        <v>136</v>
      </c>
      <c r="K30" s="3">
        <v>3.7</v>
      </c>
      <c r="L30" s="2" t="s">
        <v>157</v>
      </c>
      <c r="M30" s="6" t="s">
        <v>160</v>
      </c>
    </row>
    <row r="31" spans="1:13" ht="28">
      <c r="A31" s="2" t="s">
        <v>133</v>
      </c>
      <c r="B31" s="4">
        <v>1</v>
      </c>
      <c r="C31" s="2" t="s">
        <v>139</v>
      </c>
      <c r="D31" s="2"/>
      <c r="E31" s="2" t="s">
        <v>140</v>
      </c>
      <c r="F31" s="2" t="s">
        <v>130</v>
      </c>
      <c r="G31" s="2"/>
      <c r="H31" s="3">
        <v>0.74</v>
      </c>
      <c r="I31" s="3">
        <f t="shared" si="0"/>
        <v>0.74</v>
      </c>
      <c r="J31" s="3" t="s">
        <v>136</v>
      </c>
      <c r="K31" s="3">
        <v>3.7</v>
      </c>
      <c r="L31" s="2" t="s">
        <v>158</v>
      </c>
      <c r="M31" s="6" t="s">
        <v>160</v>
      </c>
    </row>
    <row r="32" spans="1:13" ht="28">
      <c r="A32" s="2" t="s">
        <v>141</v>
      </c>
      <c r="B32" s="4">
        <v>1</v>
      </c>
      <c r="C32" s="2" t="s">
        <v>142</v>
      </c>
      <c r="D32" s="2"/>
      <c r="E32" s="2"/>
      <c r="F32" s="2" t="s">
        <v>143</v>
      </c>
      <c r="G32" s="2" t="s">
        <v>144</v>
      </c>
      <c r="H32" s="3">
        <v>2.59</v>
      </c>
      <c r="I32" s="3">
        <f t="shared" si="0"/>
        <v>2.59</v>
      </c>
      <c r="J32" s="3" t="s">
        <v>132</v>
      </c>
      <c r="K32" s="3">
        <v>25.9</v>
      </c>
      <c r="L32" s="2" t="s">
        <v>145</v>
      </c>
      <c r="M32" s="6" t="s">
        <v>146</v>
      </c>
    </row>
    <row r="33" spans="1:13" ht="28">
      <c r="A33" s="2" t="s">
        <v>147</v>
      </c>
      <c r="B33" s="4">
        <v>4</v>
      </c>
      <c r="C33" s="2" t="s">
        <v>148</v>
      </c>
      <c r="D33" s="2"/>
      <c r="E33" s="2" t="s">
        <v>149</v>
      </c>
      <c r="F33" s="2" t="s">
        <v>143</v>
      </c>
      <c r="G33" s="2" t="s">
        <v>150</v>
      </c>
      <c r="H33" s="3">
        <v>0.34950000000000003</v>
      </c>
      <c r="I33" s="3">
        <f t="shared" si="0"/>
        <v>1.3980000000000001</v>
      </c>
      <c r="J33" s="3" t="s">
        <v>151</v>
      </c>
      <c r="K33" s="3">
        <v>6.99</v>
      </c>
      <c r="L33" s="2" t="s">
        <v>159</v>
      </c>
      <c r="M33" s="6" t="s">
        <v>152</v>
      </c>
    </row>
  </sheetData>
  <hyperlinks>
    <hyperlink ref="L2" r:id="rId1" xr:uid="{CB71BF7C-5141-4EFC-8F42-1BA008A4C357}"/>
    <hyperlink ref="L3:L27" r:id="rId2" display="Quantities from DigiKey ModdedTS Parts List" xr:uid="{781B7E54-76AE-4AEE-8BF0-B7A4181DAF31}"/>
    <hyperlink ref="M2" r:id="rId3" xr:uid="{EAA0C7CC-F857-4545-B269-96E4BE1A4DDA}"/>
    <hyperlink ref="M3" r:id="rId4" xr:uid="{189B7E32-EF19-4150-ABC3-4F1C31892AD4}"/>
    <hyperlink ref="M4" r:id="rId5" xr:uid="{53E81575-53B3-40BC-92A9-2B33E72685DE}"/>
    <hyperlink ref="M5" r:id="rId6" xr:uid="{C7F22D18-9980-45E0-B87D-D9BA4F18DE5E}"/>
    <hyperlink ref="M6" r:id="rId7" xr:uid="{AA4B011D-CAB4-4862-9C7D-74BEED47BC60}"/>
    <hyperlink ref="M7" r:id="rId8" xr:uid="{5F8A7741-4E77-47D3-A7CA-086A8BA88558}"/>
    <hyperlink ref="M8" r:id="rId9" xr:uid="{A0478414-91F5-4B26-9DA8-BB6A10AAABBF}"/>
    <hyperlink ref="M9" r:id="rId10" xr:uid="{4DB3D1DD-342C-4348-A241-8F10522F24EF}"/>
    <hyperlink ref="M10" r:id="rId11" xr:uid="{26351A38-775B-426B-BAD2-D37A4F538ADE}"/>
    <hyperlink ref="M11" r:id="rId12" xr:uid="{D1076AC9-2102-4DE0-B485-7E6B23A84B14}"/>
    <hyperlink ref="M12" r:id="rId13" xr:uid="{1B72506D-5423-447F-BAC3-7F1CBA0DEC5F}"/>
    <hyperlink ref="M13" r:id="rId14" xr:uid="{CBB6E851-324D-46CE-A88D-0E9E97694AA9}"/>
    <hyperlink ref="M14" r:id="rId15" xr:uid="{45A2A56E-1BA4-4DE8-BD35-A13942DD59D7}"/>
    <hyperlink ref="M15" r:id="rId16" xr:uid="{C0288A3C-0FA8-4CC6-8056-1749C8EEB9E5}"/>
    <hyperlink ref="M16" r:id="rId17" xr:uid="{8DBE497D-1047-4D18-B7BE-EE6771F7694A}"/>
    <hyperlink ref="M17" r:id="rId18" xr:uid="{7B4EF706-A2D9-426B-9F94-60EC1A1DDB5F}"/>
    <hyperlink ref="M18" r:id="rId19" xr:uid="{259E941A-23B7-450B-A7C6-F195D5424D34}"/>
    <hyperlink ref="M19" r:id="rId20" xr:uid="{9948EC16-5D20-4425-A237-1A5BFD048602}"/>
    <hyperlink ref="M20" r:id="rId21" xr:uid="{1F878F95-F494-4944-897A-9945ADCEC864}"/>
    <hyperlink ref="M21" r:id="rId22" xr:uid="{2B9493F2-1872-44A4-9167-BD6587889B9C}"/>
    <hyperlink ref="M22" r:id="rId23" xr:uid="{0BA161D8-558D-4153-899E-42B715FCD80A}"/>
    <hyperlink ref="M23" r:id="rId24" xr:uid="{4367714A-BBA2-47E8-9494-C5B57E72A14E}"/>
    <hyperlink ref="M24" r:id="rId25" xr:uid="{16614A46-D6E9-44D9-AD2B-53641AF6A612}"/>
    <hyperlink ref="M25" r:id="rId26" xr:uid="{E61D90FB-D9D6-4600-B66B-C99C4BF6676A}"/>
    <hyperlink ref="M26" r:id="rId27" xr:uid="{C44C1DDB-5BEC-4FDA-AB9F-10696DC66CB3}"/>
    <hyperlink ref="M28" r:id="rId28" xr:uid="{999EC47E-DD7B-42BD-8C37-0128ADADCDAF}"/>
    <hyperlink ref="M29" r:id="rId29" xr:uid="{5A00B8DE-57DF-4F5D-9BB5-689C2F2CDBA6}"/>
    <hyperlink ref="M30" r:id="rId30" xr:uid="{6413737A-6B0E-428A-9AE6-75BCDE371364}"/>
    <hyperlink ref="M31" r:id="rId31" xr:uid="{473D8226-EF67-42F4-B960-274C08DADF81}"/>
    <hyperlink ref="M32" r:id="rId32" xr:uid="{89E7CA7B-5143-49C7-BE48-6D89DA790E4F}"/>
    <hyperlink ref="M33" r:id="rId33" xr:uid="{B9BBBD67-FBBE-43AA-B0C3-EFCD962AB7F6}"/>
    <hyperlink ref="L28" r:id="rId34" xr:uid="{659AF7AA-5D46-4DF4-A5AF-99779583B221}"/>
  </hyperlinks>
  <pageMargins left="0.7" right="0.7" top="0.75" bottom="0.75" header="0.3" footer="0.3"/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C12" sqref="C12"/>
    </sheetView>
  </sheetViews>
  <sheetFormatPr defaultRowHeight="14"/>
  <cols>
    <col min="1" max="1" width="28" customWidth="1"/>
    <col min="2" max="2" width="20" customWidth="1"/>
    <col min="3" max="3" width="64.08203125" customWidth="1"/>
    <col min="4" max="4" width="10.1640625" customWidth="1"/>
  </cols>
  <sheetData>
    <row r="1" spans="1:4" ht="20">
      <c r="A1" s="5" t="s">
        <v>153</v>
      </c>
      <c r="B1" s="5"/>
      <c r="C1" s="5"/>
      <c r="D1" s="5"/>
    </row>
    <row r="3" spans="1:4">
      <c r="A3" s="1" t="s">
        <v>5</v>
      </c>
      <c r="B3" s="1" t="s">
        <v>154</v>
      </c>
      <c r="C3" s="1" t="s">
        <v>11</v>
      </c>
      <c r="D3" s="1"/>
    </row>
    <row r="4" spans="1:4" ht="29" customHeight="1">
      <c r="A4" s="2" t="s">
        <v>17</v>
      </c>
      <c r="B4" s="3">
        <f>SUMIF('Single Pedal BOM'!F:F,A4,'Single Pedal BOM'!I:I)</f>
        <v>12.07</v>
      </c>
      <c r="C4" s="2" t="s">
        <v>164</v>
      </c>
    </row>
    <row r="5" spans="1:4" ht="28.5" customHeight="1">
      <c r="A5" s="2" t="s">
        <v>130</v>
      </c>
      <c r="B5" s="3">
        <f>SUMIF('Single Pedal BOM'!F:F,A5,'Single Pedal BOM'!I:I)</f>
        <v>8.68</v>
      </c>
      <c r="C5" s="2" t="s">
        <v>165</v>
      </c>
    </row>
    <row r="6" spans="1:4" ht="33.5" customHeight="1">
      <c r="A6" s="2" t="s">
        <v>143</v>
      </c>
      <c r="B6" s="3">
        <f>SUMIF('Single Pedal BOM'!F:F,A6,'Single Pedal BOM'!K:K)</f>
        <v>32.89</v>
      </c>
      <c r="C6" s="2" t="s">
        <v>163</v>
      </c>
    </row>
    <row r="7" spans="1:4" ht="19.5" customHeight="1">
      <c r="A7" s="2"/>
      <c r="B7" s="3"/>
      <c r="C7" s="2"/>
    </row>
    <row r="8" spans="1:4" ht="44" customHeight="1">
      <c r="A8" s="7" t="s">
        <v>166</v>
      </c>
      <c r="B8" s="3">
        <f>SUM(B4:B6)</f>
        <v>53.64</v>
      </c>
      <c r="C8" s="2" t="s">
        <v>167</v>
      </c>
    </row>
    <row r="9" spans="1:4">
      <c r="A9" s="2"/>
      <c r="B9" s="3"/>
      <c r="C9" s="2"/>
    </row>
    <row r="10" spans="1:4">
      <c r="A10" s="2"/>
      <c r="B10" s="3"/>
      <c r="C10" s="2"/>
    </row>
    <row r="11" spans="1:4" ht="14.5">
      <c r="A11" s="8" t="s">
        <v>168</v>
      </c>
      <c r="B11" s="9">
        <f>SUM(B4:B5)+SUMIF('Single Pedal BOM'!F:F,A6,'Single Pedal BOM'!I:I)</f>
        <v>24.738</v>
      </c>
      <c r="C11" s="2" t="s">
        <v>169</v>
      </c>
    </row>
    <row r="14" spans="1:4">
      <c r="A14" s="2"/>
      <c r="B14" s="2"/>
      <c r="C14" s="2"/>
    </row>
  </sheetData>
  <mergeCells count="1">
    <mergeCell ref="A1:D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Pedal BOM</vt:lpstr>
      <vt:lpstr>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Miles Bovero</cp:lastModifiedBy>
  <dcterms:modified xsi:type="dcterms:W3CDTF">2026-07-14T04:06:56Z</dcterms:modified>
</cp:coreProperties>
</file>